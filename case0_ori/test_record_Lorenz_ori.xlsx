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PythonProject_DON\case0_ori\"/>
    </mc:Choice>
  </mc:AlternateContent>
  <xr:revisionPtr revIDLastSave="0" documentId="13_ncr:1_{18120432-6243-4BEB-8056-B9D7617749C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test_record_Lorenz_ori - 副本 (4)" sheetId="1" r:id="rId1"/>
    <sheet name="Sheet1" sheetId="2" r:id="rId2"/>
  </sheets>
  <definedNames>
    <definedName name="_xlnm._FilterDatabase" localSheetId="1" hidden="1">Sheet1!$A$2:$L$16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L10" i="2"/>
  <c r="L11" i="2"/>
  <c r="L12" i="2"/>
  <c r="L13" i="2"/>
  <c r="L14" i="2"/>
  <c r="L15" i="2"/>
  <c r="J15" i="2"/>
  <c r="J5" i="2"/>
  <c r="J6" i="2"/>
  <c r="J7" i="2"/>
  <c r="J8" i="2"/>
  <c r="J9" i="2"/>
  <c r="J10" i="2"/>
  <c r="J11" i="2"/>
  <c r="J12" i="2"/>
  <c r="J13" i="2"/>
  <c r="J14" i="2"/>
  <c r="H5" i="2"/>
  <c r="H6" i="2"/>
  <c r="H7" i="2"/>
  <c r="H8" i="2"/>
  <c r="H9" i="2"/>
  <c r="H10" i="2"/>
  <c r="H11" i="2"/>
  <c r="H12" i="2"/>
  <c r="H13" i="2"/>
  <c r="H14" i="2"/>
  <c r="H15" i="2"/>
  <c r="F5" i="2"/>
  <c r="F6" i="2"/>
  <c r="F7" i="2"/>
  <c r="F8" i="2"/>
  <c r="F9" i="2"/>
  <c r="F10" i="2"/>
  <c r="F11" i="2"/>
  <c r="F12" i="2"/>
  <c r="F13" i="2"/>
  <c r="F14" i="2"/>
  <c r="F15" i="2"/>
  <c r="L4" i="2"/>
  <c r="J4" i="2"/>
  <c r="H4" i="2"/>
  <c r="F4" i="2"/>
  <c r="D5" i="2"/>
  <c r="D6" i="2"/>
  <c r="D7" i="2"/>
  <c r="D8" i="2"/>
  <c r="D9" i="2"/>
  <c r="D10" i="2"/>
  <c r="D11" i="2"/>
  <c r="D12" i="2"/>
  <c r="D13" i="2"/>
  <c r="D14" i="2"/>
  <c r="D15" i="2"/>
  <c r="D4" i="2"/>
</calcChain>
</file>

<file path=xl/sharedStrings.xml><?xml version="1.0" encoding="utf-8"?>
<sst xmlns="http://schemas.openxmlformats.org/spreadsheetml/2006/main" count="240" uniqueCount="38">
  <si>
    <t>modelname</t>
  </si>
  <si>
    <t>elapsetime</t>
  </si>
  <si>
    <t>horizon</t>
  </si>
  <si>
    <t>epochs</t>
  </si>
  <si>
    <t>batchsize</t>
  </si>
  <si>
    <t>initlr</t>
  </si>
  <si>
    <t>testloss</t>
  </si>
  <si>
    <t>mae</t>
  </si>
  <si>
    <t>mse</t>
  </si>
  <si>
    <t>rmse</t>
  </si>
  <si>
    <t>mape</t>
  </si>
  <si>
    <t>nmse</t>
  </si>
  <si>
    <t>nrmse</t>
  </si>
  <si>
    <t>FastDON</t>
  </si>
  <si>
    <t>ela_time</t>
  </si>
  <si>
    <t>multisteps</t>
  </si>
  <si>
    <t>MLMerisReservoir</t>
  </si>
  <si>
    <t>layer=[500,500]</t>
  </si>
  <si>
    <t>inital_lr</t>
  </si>
  <si>
    <t>trainloss</t>
  </si>
  <si>
    <t>reconestepesn</t>
  </si>
  <si>
    <t>ela_time=6</t>
  </si>
  <si>
    <t>resersize=500,500</t>
  </si>
  <si>
    <t>spectral_radius=0.9, 0.9</t>
  </si>
  <si>
    <t>leaking_rate=0.1,0.1</t>
  </si>
  <si>
    <t>train_loss</t>
  </si>
  <si>
    <t>ESN</t>
  </si>
  <si>
    <t>ESN</t>
    <phoneticPr fontId="1" type="noConversion"/>
  </si>
  <si>
    <t>MAE</t>
  </si>
  <si>
    <t>MAE</t>
    <phoneticPr fontId="1" type="noConversion"/>
  </si>
  <si>
    <t>MSE</t>
  </si>
  <si>
    <t>MSE</t>
    <phoneticPr fontId="1" type="noConversion"/>
  </si>
  <si>
    <t>RMSE</t>
  </si>
  <si>
    <t>RMSE</t>
    <phoneticPr fontId="1" type="noConversion"/>
  </si>
  <si>
    <t>NMSE</t>
  </si>
  <si>
    <t>NMSE</t>
    <phoneticPr fontId="1" type="noConversion"/>
  </si>
  <si>
    <t>NRMSE</t>
  </si>
  <si>
    <t>NRMSE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</si>
</sst>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00_ "/>
    <numFmt numFmtId="179" formatCode="0.0E+00"/>
    <numFmt numFmtId="180" formatCode="0_ "/>
    <numFmt numFmtId="182" formatCode="0.00_);[Red]\(0.00\)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0" fillId="0" borderId="2" xfId="0" applyNumberForma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2" fontId="0" fillId="0" borderId="2" xfId="0" applyNumberFormat="1" applyBorder="1" applyAlignment="1">
      <alignment horizontal="center" vertical="center"/>
    </xf>
    <xf numFmtId="182" fontId="3" fillId="0" borderId="2" xfId="0" applyNumberFormat="1" applyFont="1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82" fontId="3" fillId="0" borderId="3" xfId="0" applyNumberFormat="1" applyFon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opLeftCell="A7" workbookViewId="0">
      <selection sqref="A1:M32"/>
    </sheetView>
  </sheetViews>
  <sheetFormatPr defaultColWidth="9.81640625" defaultRowHeight="1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</v>
      </c>
      <c r="D2">
        <v>1000</v>
      </c>
      <c r="E2">
        <v>128</v>
      </c>
      <c r="F2">
        <v>1E-3</v>
      </c>
      <c r="G2">
        <v>1.4590555000000001</v>
      </c>
      <c r="H2">
        <v>0.35555792000000003</v>
      </c>
      <c r="I2">
        <v>0.23635813999999999</v>
      </c>
      <c r="J2">
        <v>0.48616678000000002</v>
      </c>
      <c r="K2">
        <v>0.29653803000000001</v>
      </c>
      <c r="L2">
        <v>3.8581919999999999E-3</v>
      </c>
      <c r="M2">
        <v>6.2114343000000002E-2</v>
      </c>
    </row>
    <row r="3" spans="1:13" x14ac:dyDescent="0.25">
      <c r="A3" t="s">
        <v>13</v>
      </c>
      <c r="B3" t="s">
        <v>14</v>
      </c>
      <c r="C3">
        <v>5</v>
      </c>
      <c r="D3">
        <v>1000</v>
      </c>
      <c r="E3">
        <v>128</v>
      </c>
      <c r="F3">
        <v>1E-3</v>
      </c>
      <c r="G3">
        <v>1.4590555000000001</v>
      </c>
      <c r="H3">
        <v>0.44890738000000002</v>
      </c>
      <c r="I3">
        <v>0.36493838000000001</v>
      </c>
      <c r="J3">
        <v>0.60410129999999995</v>
      </c>
      <c r="K3">
        <v>0.47354624000000001</v>
      </c>
      <c r="L3">
        <v>5.9503960000000002E-3</v>
      </c>
      <c r="M3">
        <v>7.7138810000000002E-2</v>
      </c>
    </row>
    <row r="4" spans="1:13" x14ac:dyDescent="0.25">
      <c r="A4" t="s">
        <v>13</v>
      </c>
      <c r="B4" t="s">
        <v>14</v>
      </c>
      <c r="C4">
        <v>8</v>
      </c>
      <c r="D4">
        <v>1000</v>
      </c>
      <c r="E4">
        <v>128</v>
      </c>
      <c r="F4">
        <v>1E-3</v>
      </c>
      <c r="G4">
        <v>1.4590555000000001</v>
      </c>
      <c r="H4">
        <v>0.52025854999999999</v>
      </c>
      <c r="I4">
        <v>0.5371051</v>
      </c>
      <c r="J4">
        <v>0.73287449999999998</v>
      </c>
      <c r="K4">
        <v>0.33266410000000002</v>
      </c>
      <c r="L4">
        <v>8.7571000000000003E-3</v>
      </c>
      <c r="M4">
        <v>9.3579374000000007E-2</v>
      </c>
    </row>
    <row r="5" spans="1:13" x14ac:dyDescent="0.25">
      <c r="A5" t="s">
        <v>13</v>
      </c>
      <c r="B5" t="s">
        <v>14</v>
      </c>
      <c r="C5">
        <v>11</v>
      </c>
      <c r="D5">
        <v>1000</v>
      </c>
      <c r="E5">
        <v>128</v>
      </c>
      <c r="F5">
        <v>1E-3</v>
      </c>
      <c r="G5">
        <v>1.4590555000000001</v>
      </c>
      <c r="H5">
        <v>0.61409429999999998</v>
      </c>
      <c r="I5">
        <v>0.78581095000000001</v>
      </c>
      <c r="J5">
        <v>0.88645976999999998</v>
      </c>
      <c r="K5">
        <v>0.44483355000000002</v>
      </c>
      <c r="L5">
        <v>1.2811121E-2</v>
      </c>
      <c r="M5">
        <v>0.11318622</v>
      </c>
    </row>
    <row r="6" spans="1:13" x14ac:dyDescent="0.25">
      <c r="A6" t="s">
        <v>13</v>
      </c>
      <c r="B6" t="s">
        <v>14</v>
      </c>
      <c r="C6">
        <v>14</v>
      </c>
      <c r="D6">
        <v>1000</v>
      </c>
      <c r="E6">
        <v>128</v>
      </c>
      <c r="F6">
        <v>1E-3</v>
      </c>
      <c r="G6">
        <v>1.4590555000000001</v>
      </c>
      <c r="H6">
        <v>0.67346850000000003</v>
      </c>
      <c r="I6">
        <v>0.88450812999999995</v>
      </c>
      <c r="J6">
        <v>0.94048290000000001</v>
      </c>
      <c r="K6">
        <v>0.48526200000000003</v>
      </c>
      <c r="L6">
        <v>1.441799E-2</v>
      </c>
      <c r="M6">
        <v>0.12007493499999999</v>
      </c>
    </row>
    <row r="7" spans="1:13" x14ac:dyDescent="0.25">
      <c r="A7" t="s">
        <v>13</v>
      </c>
      <c r="B7" t="s">
        <v>14</v>
      </c>
      <c r="C7">
        <v>17</v>
      </c>
      <c r="D7">
        <v>1000</v>
      </c>
      <c r="E7">
        <v>128</v>
      </c>
      <c r="F7">
        <v>1E-3</v>
      </c>
      <c r="G7">
        <v>1.4590555000000001</v>
      </c>
      <c r="H7">
        <v>0.70814670000000002</v>
      </c>
      <c r="I7">
        <v>1.0274730999999999</v>
      </c>
      <c r="J7">
        <v>1.0136434999999999</v>
      </c>
      <c r="K7">
        <v>0.51606755999999998</v>
      </c>
      <c r="L7">
        <v>1.6747650999999999E-2</v>
      </c>
      <c r="M7">
        <v>0.12941273</v>
      </c>
    </row>
    <row r="8" spans="1:13" x14ac:dyDescent="0.25">
      <c r="A8" t="s">
        <v>13</v>
      </c>
      <c r="B8" t="s">
        <v>14</v>
      </c>
      <c r="C8">
        <v>20</v>
      </c>
      <c r="D8">
        <v>1000</v>
      </c>
      <c r="E8">
        <v>128</v>
      </c>
      <c r="F8">
        <v>1E-3</v>
      </c>
      <c r="G8">
        <v>1.4590555000000001</v>
      </c>
      <c r="H8">
        <v>0.83229196000000005</v>
      </c>
      <c r="I8">
        <v>1.6929486</v>
      </c>
      <c r="J8">
        <v>1.3011336</v>
      </c>
      <c r="K8">
        <v>0.60276419999999997</v>
      </c>
      <c r="L8">
        <v>2.7606399E-2</v>
      </c>
      <c r="M8">
        <v>0.16615174999999999</v>
      </c>
    </row>
    <row r="9" spans="1:13" x14ac:dyDescent="0.25">
      <c r="A9" t="s">
        <v>13</v>
      </c>
      <c r="B9" t="s">
        <v>14</v>
      </c>
      <c r="C9">
        <v>23</v>
      </c>
      <c r="D9">
        <v>1000</v>
      </c>
      <c r="E9">
        <v>128</v>
      </c>
      <c r="F9">
        <v>1E-3</v>
      </c>
      <c r="G9">
        <v>1.4590555000000001</v>
      </c>
      <c r="H9">
        <v>0.8941694</v>
      </c>
      <c r="I9">
        <v>1.9903651</v>
      </c>
      <c r="J9">
        <v>1.410803</v>
      </c>
      <c r="K9">
        <v>0.69185174000000005</v>
      </c>
      <c r="L9">
        <v>3.2450122999999997E-2</v>
      </c>
      <c r="M9">
        <v>0.18013916999999999</v>
      </c>
    </row>
    <row r="10" spans="1:13" x14ac:dyDescent="0.25">
      <c r="A10" t="s">
        <v>13</v>
      </c>
      <c r="B10" t="s">
        <v>14</v>
      </c>
      <c r="C10">
        <v>26</v>
      </c>
      <c r="D10">
        <v>1000</v>
      </c>
      <c r="E10">
        <v>128</v>
      </c>
      <c r="F10">
        <v>1E-3</v>
      </c>
      <c r="G10">
        <v>1.4590555000000001</v>
      </c>
      <c r="H10">
        <v>0.98830426000000005</v>
      </c>
      <c r="I10">
        <v>2.3289057999999998</v>
      </c>
      <c r="J10">
        <v>1.5260752</v>
      </c>
      <c r="K10">
        <v>0.67200356999999999</v>
      </c>
      <c r="L10">
        <v>3.7863198000000001E-2</v>
      </c>
      <c r="M10">
        <v>0.19458466999999999</v>
      </c>
    </row>
    <row r="11" spans="1:13" x14ac:dyDescent="0.25">
      <c r="A11" t="s">
        <v>13</v>
      </c>
      <c r="B11" t="s">
        <v>14</v>
      </c>
      <c r="C11">
        <v>29</v>
      </c>
      <c r="D11">
        <v>1000</v>
      </c>
      <c r="E11">
        <v>128</v>
      </c>
      <c r="F11">
        <v>1E-3</v>
      </c>
      <c r="G11">
        <v>1.4590555000000001</v>
      </c>
      <c r="H11">
        <v>0.98033239999999999</v>
      </c>
      <c r="I11">
        <v>2.6683235000000001</v>
      </c>
      <c r="J11">
        <v>1.6335002999999999</v>
      </c>
      <c r="K11">
        <v>0.6211835</v>
      </c>
      <c r="L11">
        <v>4.3296023000000003E-2</v>
      </c>
      <c r="M11">
        <v>0.20807695000000001</v>
      </c>
    </row>
    <row r="12" spans="1:13" x14ac:dyDescent="0.25">
      <c r="A12" t="s">
        <v>13</v>
      </c>
      <c r="B12" t="s">
        <v>14</v>
      </c>
      <c r="C12">
        <v>32</v>
      </c>
      <c r="D12">
        <v>1000</v>
      </c>
      <c r="E12">
        <v>128</v>
      </c>
      <c r="F12">
        <v>1E-3</v>
      </c>
      <c r="G12">
        <v>1.4590555000000001</v>
      </c>
      <c r="H12">
        <v>1.0815619000000001</v>
      </c>
      <c r="I12">
        <v>2.6492051999999999</v>
      </c>
      <c r="J12">
        <v>1.6276379999999999</v>
      </c>
      <c r="K12">
        <v>0.82323139999999995</v>
      </c>
      <c r="L12">
        <v>4.2962118000000001E-2</v>
      </c>
      <c r="M12">
        <v>0.20727307</v>
      </c>
    </row>
    <row r="13" spans="1:13" x14ac:dyDescent="0.25">
      <c r="A13" t="s">
        <v>13</v>
      </c>
      <c r="B13" t="s">
        <v>14</v>
      </c>
      <c r="C13">
        <v>35</v>
      </c>
      <c r="D13">
        <v>1000</v>
      </c>
      <c r="E13">
        <v>128</v>
      </c>
      <c r="F13">
        <v>1E-3</v>
      </c>
      <c r="G13">
        <v>1.4590555000000001</v>
      </c>
      <c r="H13">
        <v>1.6002015999999999</v>
      </c>
      <c r="I13">
        <v>4.3478465000000002</v>
      </c>
      <c r="J13">
        <v>2.0851489999999999</v>
      </c>
      <c r="K13">
        <v>1.1197699000000001</v>
      </c>
      <c r="L13">
        <v>7.0496960999999997E-2</v>
      </c>
      <c r="M13">
        <v>0.26551265000000002</v>
      </c>
    </row>
    <row r="14" spans="1:13" x14ac:dyDescent="0.25">
      <c r="A14" t="s">
        <v>15</v>
      </c>
    </row>
    <row r="19" spans="1:13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16</v>
      </c>
      <c r="B21" t="s">
        <v>14</v>
      </c>
      <c r="C21">
        <v>2</v>
      </c>
      <c r="D21" t="s">
        <v>3</v>
      </c>
      <c r="E21" t="s">
        <v>17</v>
      </c>
      <c r="F21" t="s">
        <v>18</v>
      </c>
      <c r="G21" t="s">
        <v>19</v>
      </c>
      <c r="H21">
        <v>9.2734050000000002E-3</v>
      </c>
      <c r="I21">
        <v>1.4833199999999999E-4</v>
      </c>
      <c r="J21">
        <v>1.2179168000000001E-2</v>
      </c>
      <c r="K21">
        <v>6.4651719999999999E-3</v>
      </c>
      <c r="L21" s="1">
        <v>2.4399999999999999E-6</v>
      </c>
      <c r="M21">
        <v>1.5612309999999999E-3</v>
      </c>
    </row>
    <row r="22" spans="1:13" x14ac:dyDescent="0.25">
      <c r="A22" t="s">
        <v>16</v>
      </c>
      <c r="B22" t="s">
        <v>14</v>
      </c>
      <c r="C22">
        <v>5</v>
      </c>
      <c r="D22" t="s">
        <v>3</v>
      </c>
      <c r="E22" t="s">
        <v>17</v>
      </c>
      <c r="F22" t="s">
        <v>18</v>
      </c>
      <c r="G22" t="s">
        <v>19</v>
      </c>
      <c r="H22">
        <v>1.6538344999999999E-2</v>
      </c>
      <c r="I22">
        <v>4.7213600000000001E-4</v>
      </c>
      <c r="J22">
        <v>2.1728701E-2</v>
      </c>
      <c r="K22">
        <v>1.2189324E-2</v>
      </c>
      <c r="L22" s="1">
        <v>7.7600000000000002E-6</v>
      </c>
      <c r="M22">
        <v>2.7852369999999999E-3</v>
      </c>
    </row>
    <row r="23" spans="1:13" x14ac:dyDescent="0.25">
      <c r="A23" t="s">
        <v>16</v>
      </c>
      <c r="B23" t="s">
        <v>14</v>
      </c>
      <c r="C23">
        <v>8</v>
      </c>
      <c r="D23" t="s">
        <v>3</v>
      </c>
      <c r="E23" t="s">
        <v>17</v>
      </c>
      <c r="F23" t="s">
        <v>18</v>
      </c>
      <c r="G23" t="s">
        <v>19</v>
      </c>
      <c r="H23">
        <v>2.1781320999999999E-2</v>
      </c>
      <c r="I23">
        <v>8.3556199999999998E-4</v>
      </c>
      <c r="J23">
        <v>2.8906085000000002E-2</v>
      </c>
      <c r="K23">
        <v>1.5932175999999999E-2</v>
      </c>
      <c r="L23" s="1">
        <v>1.3699999999999999E-5</v>
      </c>
      <c r="M23">
        <v>3.7031849999999999E-3</v>
      </c>
    </row>
    <row r="24" spans="1:13" x14ac:dyDescent="0.25">
      <c r="A24" t="s">
        <v>16</v>
      </c>
      <c r="B24" t="s">
        <v>14</v>
      </c>
      <c r="C24">
        <v>11</v>
      </c>
      <c r="D24" t="s">
        <v>3</v>
      </c>
      <c r="E24" t="s">
        <v>17</v>
      </c>
      <c r="F24" t="s">
        <v>18</v>
      </c>
      <c r="G24" t="s">
        <v>19</v>
      </c>
      <c r="H24">
        <v>4.4553919999999997E-2</v>
      </c>
      <c r="I24">
        <v>3.6816639999999999E-3</v>
      </c>
      <c r="J24">
        <v>6.0676716999999998E-2</v>
      </c>
      <c r="K24">
        <v>2.5444316000000002E-2</v>
      </c>
      <c r="L24" s="1">
        <v>6.0300000000000002E-5</v>
      </c>
      <c r="M24">
        <v>7.7683650000000002E-3</v>
      </c>
    </row>
    <row r="25" spans="1:13" x14ac:dyDescent="0.25">
      <c r="A25" t="s">
        <v>16</v>
      </c>
      <c r="B25" t="s">
        <v>14</v>
      </c>
      <c r="C25">
        <v>14</v>
      </c>
      <c r="D25" t="s">
        <v>3</v>
      </c>
      <c r="E25" t="s">
        <v>17</v>
      </c>
      <c r="F25" t="s">
        <v>18</v>
      </c>
      <c r="G25" t="s">
        <v>19</v>
      </c>
      <c r="H25">
        <v>0.16725598699999999</v>
      </c>
      <c r="I25">
        <v>5.1735858000000003E-2</v>
      </c>
      <c r="J25">
        <v>0.22745517900000001</v>
      </c>
      <c r="K25">
        <v>9.7638638999999999E-2</v>
      </c>
      <c r="L25">
        <v>8.4709200000000003E-4</v>
      </c>
      <c r="M25">
        <v>2.9104850000000002E-2</v>
      </c>
    </row>
    <row r="26" spans="1:13" x14ac:dyDescent="0.25">
      <c r="A26" t="s">
        <v>16</v>
      </c>
      <c r="B26" t="s">
        <v>14</v>
      </c>
      <c r="C26">
        <v>17</v>
      </c>
      <c r="D26" t="s">
        <v>3</v>
      </c>
      <c r="E26" t="s">
        <v>17</v>
      </c>
      <c r="F26" t="s">
        <v>18</v>
      </c>
      <c r="G26" t="s">
        <v>19</v>
      </c>
      <c r="H26">
        <v>0.61226774900000003</v>
      </c>
      <c r="I26">
        <v>0.73868844099999997</v>
      </c>
      <c r="J26">
        <v>0.85946986000000003</v>
      </c>
      <c r="K26">
        <v>0.40004895600000001</v>
      </c>
      <c r="L26">
        <v>1.209065E-2</v>
      </c>
      <c r="M26">
        <v>0.109957492</v>
      </c>
    </row>
    <row r="27" spans="1:13" x14ac:dyDescent="0.25">
      <c r="A27" t="s">
        <v>16</v>
      </c>
      <c r="B27" t="s">
        <v>14</v>
      </c>
      <c r="C27">
        <v>20</v>
      </c>
      <c r="D27" t="s">
        <v>3</v>
      </c>
      <c r="E27" t="s">
        <v>17</v>
      </c>
      <c r="F27" t="s">
        <v>18</v>
      </c>
      <c r="G27" t="s">
        <v>19</v>
      </c>
      <c r="H27">
        <v>1.301882051</v>
      </c>
      <c r="I27">
        <v>3.9141221129999999</v>
      </c>
      <c r="J27">
        <v>1.9784140400000001</v>
      </c>
      <c r="K27">
        <v>0.840805425</v>
      </c>
      <c r="L27">
        <v>6.4180996000000004E-2</v>
      </c>
      <c r="M27">
        <v>0.25333968400000001</v>
      </c>
    </row>
    <row r="28" spans="1:13" x14ac:dyDescent="0.25">
      <c r="A28" t="s">
        <v>16</v>
      </c>
      <c r="B28" t="s">
        <v>14</v>
      </c>
      <c r="C28">
        <v>23</v>
      </c>
      <c r="D28" t="s">
        <v>3</v>
      </c>
      <c r="E28" t="s">
        <v>17</v>
      </c>
      <c r="F28" t="s">
        <v>18</v>
      </c>
      <c r="G28" t="s">
        <v>19</v>
      </c>
      <c r="H28">
        <v>1.5053041629999999</v>
      </c>
      <c r="I28">
        <v>6.7911045320000003</v>
      </c>
      <c r="J28">
        <v>2.605974776</v>
      </c>
      <c r="K28">
        <v>0.71137101899999999</v>
      </c>
      <c r="L28">
        <v>0.11188006</v>
      </c>
      <c r="M28">
        <v>0.33448476799999999</v>
      </c>
    </row>
    <row r="29" spans="1:13" x14ac:dyDescent="0.25">
      <c r="A29" t="s">
        <v>16</v>
      </c>
      <c r="B29" t="s">
        <v>14</v>
      </c>
      <c r="C29">
        <v>26</v>
      </c>
      <c r="D29" t="s">
        <v>3</v>
      </c>
      <c r="E29" t="s">
        <v>17</v>
      </c>
      <c r="F29" t="s">
        <v>18</v>
      </c>
      <c r="G29" t="s">
        <v>19</v>
      </c>
      <c r="H29">
        <v>1.260316083</v>
      </c>
      <c r="I29">
        <v>5.8739931780000001</v>
      </c>
      <c r="J29">
        <v>2.4236322280000002</v>
      </c>
      <c r="K29">
        <v>0.62840923400000004</v>
      </c>
      <c r="L29">
        <v>9.7067818E-2</v>
      </c>
      <c r="M29">
        <v>0.31155708700000001</v>
      </c>
    </row>
    <row r="30" spans="1:13" x14ac:dyDescent="0.25">
      <c r="A30" t="s">
        <v>16</v>
      </c>
      <c r="B30" t="s">
        <v>14</v>
      </c>
      <c r="C30">
        <v>29</v>
      </c>
      <c r="D30" t="s">
        <v>3</v>
      </c>
      <c r="E30" t="s">
        <v>17</v>
      </c>
      <c r="F30" t="s">
        <v>18</v>
      </c>
      <c r="G30" t="s">
        <v>19</v>
      </c>
      <c r="H30">
        <v>1.1739623480000001</v>
      </c>
      <c r="I30">
        <v>4.6959640739999999</v>
      </c>
      <c r="J30">
        <v>2.167017322</v>
      </c>
      <c r="K30">
        <v>0.45274489200000001</v>
      </c>
      <c r="L30">
        <v>7.7582390000000001E-2</v>
      </c>
      <c r="M30">
        <v>0.27853615500000001</v>
      </c>
    </row>
    <row r="31" spans="1:13" x14ac:dyDescent="0.25">
      <c r="A31" t="s">
        <v>16</v>
      </c>
      <c r="B31" t="s">
        <v>14</v>
      </c>
      <c r="C31">
        <v>32</v>
      </c>
      <c r="D31" t="s">
        <v>3</v>
      </c>
      <c r="E31" t="s">
        <v>17</v>
      </c>
      <c r="F31" t="s">
        <v>18</v>
      </c>
      <c r="G31" t="s">
        <v>19</v>
      </c>
      <c r="H31">
        <v>1.472905168</v>
      </c>
      <c r="I31">
        <v>6.1087627449999999</v>
      </c>
      <c r="J31">
        <v>2.4715911359999998</v>
      </c>
      <c r="K31">
        <v>0.51403536100000002</v>
      </c>
      <c r="L31">
        <v>0.100789377</v>
      </c>
      <c r="M31">
        <v>0.31747342699999997</v>
      </c>
    </row>
    <row r="32" spans="1:13" x14ac:dyDescent="0.25">
      <c r="A32" t="s">
        <v>16</v>
      </c>
      <c r="B32" t="s">
        <v>14</v>
      </c>
      <c r="C32">
        <v>35</v>
      </c>
      <c r="D32" t="s">
        <v>3</v>
      </c>
      <c r="E32" t="s">
        <v>17</v>
      </c>
      <c r="F32" t="s">
        <v>18</v>
      </c>
      <c r="G32" t="s">
        <v>19</v>
      </c>
      <c r="H32">
        <v>1.6001121519999999</v>
      </c>
      <c r="I32">
        <v>7.2388501759999997</v>
      </c>
      <c r="J32">
        <v>2.6905111370000001</v>
      </c>
      <c r="K32">
        <v>0.68213008100000005</v>
      </c>
      <c r="L32">
        <v>0.119253366</v>
      </c>
      <c r="M32">
        <v>0.34533080599999999</v>
      </c>
    </row>
    <row r="33" spans="1:13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20</v>
      </c>
      <c r="B36" t="s">
        <v>21</v>
      </c>
      <c r="C36">
        <v>2</v>
      </c>
      <c r="D36" t="s">
        <v>22</v>
      </c>
      <c r="E36" t="s">
        <v>23</v>
      </c>
      <c r="F36" t="s">
        <v>24</v>
      </c>
      <c r="G36" t="s">
        <v>25</v>
      </c>
      <c r="H36">
        <v>14.0973802837553</v>
      </c>
      <c r="I36">
        <v>568.75980560203402</v>
      </c>
      <c r="J36">
        <v>23.848685615816098</v>
      </c>
      <c r="K36">
        <v>11.517782962853399</v>
      </c>
      <c r="L36">
        <v>10.268945284257899</v>
      </c>
      <c r="M36">
        <v>3.2045195091086498</v>
      </c>
    </row>
    <row r="37" spans="1:13" x14ac:dyDescent="0.25">
      <c r="A37" t="s">
        <v>20</v>
      </c>
      <c r="B37" t="s">
        <v>21</v>
      </c>
      <c r="C37">
        <v>5</v>
      </c>
      <c r="D37" t="s">
        <v>22</v>
      </c>
      <c r="E37" t="s">
        <v>23</v>
      </c>
      <c r="F37" t="s">
        <v>24</v>
      </c>
      <c r="G37" t="s">
        <v>25</v>
      </c>
      <c r="H37">
        <v>17.262523465548899</v>
      </c>
      <c r="I37">
        <v>624.68092713799501</v>
      </c>
      <c r="J37">
        <v>24.993617728092001</v>
      </c>
      <c r="K37">
        <v>8.4654857606048299</v>
      </c>
      <c r="L37">
        <v>11.517890894384699</v>
      </c>
      <c r="M37">
        <v>3.39380183487261</v>
      </c>
    </row>
    <row r="38" spans="1:13" x14ac:dyDescent="0.25">
      <c r="A38" t="s">
        <v>20</v>
      </c>
      <c r="B38" t="s">
        <v>21</v>
      </c>
      <c r="C38">
        <v>8</v>
      </c>
      <c r="D38" t="s">
        <v>22</v>
      </c>
      <c r="E38" t="s">
        <v>23</v>
      </c>
      <c r="F38" t="s">
        <v>24</v>
      </c>
      <c r="G38" t="s">
        <v>25</v>
      </c>
      <c r="H38">
        <v>17.775268484243998</v>
      </c>
      <c r="I38">
        <v>1022.44178161452</v>
      </c>
      <c r="J38">
        <v>31.9756435684181</v>
      </c>
      <c r="K38">
        <v>3.86991086454112</v>
      </c>
      <c r="L38">
        <v>18.791519731786899</v>
      </c>
      <c r="M38">
        <v>4.3349186534220996</v>
      </c>
    </row>
    <row r="39" spans="1:13" x14ac:dyDescent="0.25">
      <c r="A39" t="s">
        <v>20</v>
      </c>
      <c r="B39" t="s">
        <v>21</v>
      </c>
      <c r="C39">
        <v>11</v>
      </c>
      <c r="D39" t="s">
        <v>22</v>
      </c>
      <c r="E39" t="s">
        <v>23</v>
      </c>
      <c r="F39" t="s">
        <v>24</v>
      </c>
      <c r="G39" t="s">
        <v>25</v>
      </c>
      <c r="H39">
        <v>18.4362678640002</v>
      </c>
      <c r="I39">
        <v>723.79210381953999</v>
      </c>
      <c r="J39">
        <v>26.903384616429499</v>
      </c>
      <c r="K39">
        <v>5.6037506653916296</v>
      </c>
      <c r="L39">
        <v>13.0957779004576</v>
      </c>
      <c r="M39">
        <v>3.6188089063195399</v>
      </c>
    </row>
    <row r="40" spans="1:13" x14ac:dyDescent="0.25">
      <c r="A40" t="s">
        <v>20</v>
      </c>
      <c r="B40" t="s">
        <v>21</v>
      </c>
      <c r="C40">
        <v>14</v>
      </c>
      <c r="D40" t="s">
        <v>22</v>
      </c>
      <c r="E40" t="s">
        <v>23</v>
      </c>
      <c r="F40" t="s">
        <v>24</v>
      </c>
      <c r="G40" t="s">
        <v>25</v>
      </c>
      <c r="H40">
        <v>22.289384598402599</v>
      </c>
      <c r="I40">
        <v>982.95383189088398</v>
      </c>
      <c r="J40">
        <v>31.352094537540601</v>
      </c>
      <c r="K40">
        <v>11.9003843046555</v>
      </c>
      <c r="L40">
        <v>17.075010729803299</v>
      </c>
      <c r="M40">
        <v>4.1321920005976596</v>
      </c>
    </row>
    <row r="41" spans="1:13" x14ac:dyDescent="0.25">
      <c r="A41" t="s">
        <v>20</v>
      </c>
      <c r="B41" t="s">
        <v>21</v>
      </c>
      <c r="C41">
        <v>17</v>
      </c>
      <c r="D41" t="s">
        <v>22</v>
      </c>
      <c r="E41" t="s">
        <v>23</v>
      </c>
      <c r="F41" t="s">
        <v>24</v>
      </c>
      <c r="G41" t="s">
        <v>25</v>
      </c>
      <c r="H41">
        <v>22.216311338308799</v>
      </c>
      <c r="I41">
        <v>949.11334051648998</v>
      </c>
      <c r="J41">
        <v>30.8076831410038</v>
      </c>
      <c r="K41">
        <v>22.9570989441305</v>
      </c>
      <c r="L41">
        <v>15.2784982546638</v>
      </c>
      <c r="M41">
        <v>3.9087719624792401</v>
      </c>
    </row>
    <row r="42" spans="1:13" x14ac:dyDescent="0.25">
      <c r="A42" t="s">
        <v>20</v>
      </c>
      <c r="B42" t="s">
        <v>21</v>
      </c>
      <c r="C42">
        <v>20</v>
      </c>
      <c r="D42" t="s">
        <v>22</v>
      </c>
      <c r="E42" t="s">
        <v>23</v>
      </c>
      <c r="F42" t="s">
        <v>24</v>
      </c>
      <c r="G42" t="s">
        <v>25</v>
      </c>
      <c r="H42">
        <v>23.874216132637802</v>
      </c>
      <c r="I42">
        <v>1149.47017594305</v>
      </c>
      <c r="J42">
        <v>33.903837186121699</v>
      </c>
      <c r="K42">
        <v>13.942138212949301</v>
      </c>
      <c r="L42">
        <v>17.565679275458599</v>
      </c>
      <c r="M42">
        <v>4.1911429557411397</v>
      </c>
    </row>
    <row r="43" spans="1:13" x14ac:dyDescent="0.25">
      <c r="A43" t="s">
        <v>20</v>
      </c>
      <c r="B43" t="s">
        <v>21</v>
      </c>
      <c r="C43">
        <v>23</v>
      </c>
      <c r="D43" t="s">
        <v>22</v>
      </c>
      <c r="E43" t="s">
        <v>23</v>
      </c>
      <c r="F43" t="s">
        <v>24</v>
      </c>
      <c r="G43" t="s">
        <v>25</v>
      </c>
      <c r="H43">
        <v>21.804865469181099</v>
      </c>
      <c r="I43">
        <v>870.74234929961494</v>
      </c>
      <c r="J43">
        <v>29.508343723421898</v>
      </c>
      <c r="K43">
        <v>12.2964870177567</v>
      </c>
      <c r="L43">
        <v>13.284418808260099</v>
      </c>
      <c r="M43">
        <v>3.64477966525551</v>
      </c>
    </row>
    <row r="44" spans="1:13" x14ac:dyDescent="0.25">
      <c r="A44" t="s">
        <v>20</v>
      </c>
      <c r="B44" t="s">
        <v>21</v>
      </c>
      <c r="C44">
        <v>26</v>
      </c>
      <c r="D44" t="s">
        <v>22</v>
      </c>
      <c r="E44" t="s">
        <v>23</v>
      </c>
      <c r="F44" t="s">
        <v>24</v>
      </c>
      <c r="G44" t="s">
        <v>25</v>
      </c>
      <c r="H44">
        <v>25.106610068386299</v>
      </c>
      <c r="I44">
        <v>1187.40182540299</v>
      </c>
      <c r="J44">
        <v>34.458697384013099</v>
      </c>
      <c r="K44">
        <v>15.2614679542462</v>
      </c>
      <c r="L44">
        <v>18.844009918374599</v>
      </c>
      <c r="M44">
        <v>4.3409687764800404</v>
      </c>
    </row>
    <row r="45" spans="1:13" x14ac:dyDescent="0.25">
      <c r="A45" t="s">
        <v>20</v>
      </c>
      <c r="B45" t="s">
        <v>21</v>
      </c>
      <c r="C45">
        <v>29</v>
      </c>
      <c r="D45" t="s">
        <v>22</v>
      </c>
      <c r="E45" t="s">
        <v>23</v>
      </c>
      <c r="F45" t="s">
        <v>24</v>
      </c>
      <c r="G45" t="s">
        <v>25</v>
      </c>
      <c r="H45">
        <v>24.058782381209099</v>
      </c>
      <c r="I45">
        <v>1172.0286293020599</v>
      </c>
      <c r="J45">
        <v>34.234903670115202</v>
      </c>
      <c r="K45">
        <v>12.4508152921346</v>
      </c>
      <c r="L45">
        <v>19.7581717730551</v>
      </c>
      <c r="M45">
        <v>4.4450165098743</v>
      </c>
    </row>
    <row r="46" spans="1:13" x14ac:dyDescent="0.25">
      <c r="A46" t="s">
        <v>20</v>
      </c>
      <c r="B46" t="s">
        <v>21</v>
      </c>
      <c r="C46">
        <v>32</v>
      </c>
      <c r="D46" t="s">
        <v>22</v>
      </c>
      <c r="E46" t="s">
        <v>23</v>
      </c>
      <c r="F46" t="s">
        <v>24</v>
      </c>
      <c r="G46" t="s">
        <v>25</v>
      </c>
      <c r="H46">
        <v>23.6966961685496</v>
      </c>
      <c r="I46">
        <v>973.68517626858397</v>
      </c>
      <c r="J46">
        <v>31.203928859497498</v>
      </c>
      <c r="K46">
        <v>15.623668722120099</v>
      </c>
      <c r="L46">
        <v>16.7930148320253</v>
      </c>
      <c r="M46">
        <v>4.0979281145507302</v>
      </c>
    </row>
    <row r="47" spans="1:13" x14ac:dyDescent="0.25">
      <c r="A47" t="s">
        <v>20</v>
      </c>
      <c r="B47" t="s">
        <v>21</v>
      </c>
      <c r="C47">
        <v>35</v>
      </c>
      <c r="D47" t="s">
        <v>22</v>
      </c>
      <c r="E47" t="s">
        <v>23</v>
      </c>
      <c r="F47" t="s">
        <v>24</v>
      </c>
      <c r="G47" t="s">
        <v>25</v>
      </c>
      <c r="H47">
        <v>27.457563558834099</v>
      </c>
      <c r="I47">
        <v>1484.0708518050999</v>
      </c>
      <c r="J47">
        <v>38.523640168150003</v>
      </c>
      <c r="K47">
        <v>25.815100036278899</v>
      </c>
      <c r="L47">
        <v>25.632588681922702</v>
      </c>
      <c r="M47">
        <v>5.06286368391671</v>
      </c>
    </row>
    <row r="48" spans="1:13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C271-3A41-45B1-885D-9729C71C6DED}">
  <sheetPr filterMode="1"/>
  <dimension ref="A2:X34"/>
  <sheetViews>
    <sheetView tabSelected="1" topLeftCell="E1" workbookViewId="0">
      <selection activeCell="O34" sqref="O34"/>
    </sheetView>
  </sheetViews>
  <sheetFormatPr defaultRowHeight="14" x14ac:dyDescent="0.25"/>
  <cols>
    <col min="2" max="2" width="9.26953125" bestFit="1" customWidth="1"/>
    <col min="3" max="9" width="8.81640625" bestFit="1" customWidth="1"/>
    <col min="10" max="10" width="9.26953125" bestFit="1" customWidth="1"/>
    <col min="11" max="12" width="8.81640625" bestFit="1" customWidth="1"/>
    <col min="18" max="18" width="8.90625" bestFit="1" customWidth="1"/>
    <col min="22" max="22" width="8.90625" bestFit="1" customWidth="1"/>
    <col min="24" max="24" width="8.90625" bestFit="1" customWidth="1"/>
  </cols>
  <sheetData>
    <row r="2" spans="1:12" x14ac:dyDescent="0.25">
      <c r="A2" s="3" t="s">
        <v>0</v>
      </c>
      <c r="B2" s="5" t="s">
        <v>2</v>
      </c>
      <c r="C2" s="6" t="s">
        <v>29</v>
      </c>
      <c r="D2" s="5"/>
      <c r="E2" s="6" t="s">
        <v>31</v>
      </c>
      <c r="F2" s="5"/>
      <c r="G2" s="6" t="s">
        <v>33</v>
      </c>
      <c r="H2" s="5"/>
      <c r="I2" s="6" t="s">
        <v>35</v>
      </c>
      <c r="J2" s="5"/>
      <c r="K2" s="6" t="s">
        <v>37</v>
      </c>
      <c r="L2" s="5"/>
    </row>
    <row r="3" spans="1:12" x14ac:dyDescent="0.25">
      <c r="A3" s="3"/>
      <c r="B3" s="7"/>
      <c r="C3" s="8" t="s">
        <v>13</v>
      </c>
      <c r="D3" s="9" t="s">
        <v>27</v>
      </c>
      <c r="E3" s="8" t="s">
        <v>13</v>
      </c>
      <c r="F3" s="9" t="s">
        <v>27</v>
      </c>
      <c r="G3" s="8" t="s">
        <v>13</v>
      </c>
      <c r="H3" s="9" t="s">
        <v>27</v>
      </c>
      <c r="I3" s="8" t="s">
        <v>13</v>
      </c>
      <c r="J3" s="9" t="s">
        <v>27</v>
      </c>
      <c r="K3" s="8" t="s">
        <v>13</v>
      </c>
      <c r="L3" s="9" t="s">
        <v>27</v>
      </c>
    </row>
    <row r="4" spans="1:12" x14ac:dyDescent="0.25">
      <c r="A4" s="3" t="s">
        <v>13</v>
      </c>
      <c r="B4" s="15">
        <v>2</v>
      </c>
      <c r="C4" s="10">
        <v>0.35555792000000003</v>
      </c>
      <c r="D4" s="10">
        <f>C23</f>
        <v>9.2734050000000002E-3</v>
      </c>
      <c r="E4" s="10">
        <v>0.23635813999999999</v>
      </c>
      <c r="F4" s="10">
        <f>E23</f>
        <v>1.4833199999999999E-4</v>
      </c>
      <c r="G4" s="10">
        <v>0.48616678000000002</v>
      </c>
      <c r="H4" s="10">
        <f>G23</f>
        <v>1.2179168000000001E-2</v>
      </c>
      <c r="I4" s="10">
        <v>3.8581919999999999E-3</v>
      </c>
      <c r="J4" s="11">
        <f>I23</f>
        <v>2.4399999999999999E-6</v>
      </c>
      <c r="K4" s="10">
        <v>6.2114343000000002E-2</v>
      </c>
      <c r="L4" s="10">
        <f>K23</f>
        <v>1.5612309999999999E-3</v>
      </c>
    </row>
    <row r="5" spans="1:12" hidden="1" x14ac:dyDescent="0.25">
      <c r="A5" s="3" t="s">
        <v>13</v>
      </c>
      <c r="B5" s="3">
        <v>5</v>
      </c>
      <c r="C5" s="3">
        <v>0.44890738000000002</v>
      </c>
      <c r="D5" s="3">
        <f t="shared" ref="D5:D15" si="0">C24</f>
        <v>1.6538344999999999E-2</v>
      </c>
      <c r="E5" s="3">
        <v>0.36493838000000001</v>
      </c>
      <c r="F5" s="3">
        <f t="shared" ref="F5:F15" si="1">E24</f>
        <v>4.7213600000000001E-4</v>
      </c>
      <c r="G5" s="3">
        <v>0.60410129999999995</v>
      </c>
      <c r="H5" s="3">
        <f t="shared" ref="H5:H15" si="2">G24</f>
        <v>2.1728701E-2</v>
      </c>
      <c r="I5" s="3">
        <v>5.9503960000000002E-3</v>
      </c>
      <c r="J5" s="4">
        <f t="shared" ref="J5:J15" si="3">I24</f>
        <v>7.7600000000000002E-6</v>
      </c>
      <c r="K5" s="3">
        <v>7.7138810000000002E-2</v>
      </c>
      <c r="L5" s="3">
        <f t="shared" ref="L5:L15" si="4">K24</f>
        <v>2.7852369999999999E-3</v>
      </c>
    </row>
    <row r="6" spans="1:12" x14ac:dyDescent="0.25">
      <c r="A6" s="3" t="s">
        <v>13</v>
      </c>
      <c r="B6" s="16">
        <v>8</v>
      </c>
      <c r="C6" s="12">
        <v>0.52025854999999999</v>
      </c>
      <c r="D6" s="12">
        <f t="shared" si="0"/>
        <v>2.1781320999999999E-2</v>
      </c>
      <c r="E6" s="12">
        <v>0.5371051</v>
      </c>
      <c r="F6" s="12">
        <f t="shared" si="1"/>
        <v>8.3556199999999998E-4</v>
      </c>
      <c r="G6" s="12">
        <v>0.73287449999999998</v>
      </c>
      <c r="H6" s="12">
        <f t="shared" si="2"/>
        <v>2.8906085000000002E-2</v>
      </c>
      <c r="I6" s="12">
        <v>8.7571000000000003E-3</v>
      </c>
      <c r="J6" s="13">
        <f t="shared" si="3"/>
        <v>1.3699999999999999E-5</v>
      </c>
      <c r="K6" s="12">
        <v>9.3579374000000007E-2</v>
      </c>
      <c r="L6" s="12">
        <f t="shared" si="4"/>
        <v>3.7031849999999999E-3</v>
      </c>
    </row>
    <row r="7" spans="1:12" hidden="1" x14ac:dyDescent="0.25">
      <c r="A7" s="3" t="s">
        <v>13</v>
      </c>
      <c r="B7" s="3">
        <v>11</v>
      </c>
      <c r="C7" s="3">
        <v>0.61409429999999998</v>
      </c>
      <c r="D7" s="3">
        <f t="shared" si="0"/>
        <v>4.4553919999999997E-2</v>
      </c>
      <c r="E7" s="3">
        <v>0.78581095000000001</v>
      </c>
      <c r="F7" s="3">
        <f t="shared" si="1"/>
        <v>3.6816639999999999E-3</v>
      </c>
      <c r="G7" s="3">
        <v>0.88645976999999998</v>
      </c>
      <c r="H7" s="3">
        <f t="shared" si="2"/>
        <v>6.0676716999999998E-2</v>
      </c>
      <c r="I7" s="3">
        <v>1.2811121E-2</v>
      </c>
      <c r="J7" s="3">
        <f t="shared" si="3"/>
        <v>6.0300000000000002E-5</v>
      </c>
      <c r="K7" s="3">
        <v>0.11318622</v>
      </c>
      <c r="L7" s="3">
        <f t="shared" si="4"/>
        <v>7.7683650000000002E-3</v>
      </c>
    </row>
    <row r="8" spans="1:12" x14ac:dyDescent="0.25">
      <c r="A8" s="3" t="s">
        <v>13</v>
      </c>
      <c r="B8" s="16">
        <v>14</v>
      </c>
      <c r="C8" s="12">
        <v>0.67346850000000003</v>
      </c>
      <c r="D8" s="12">
        <f t="shared" si="0"/>
        <v>0.16725598699999999</v>
      </c>
      <c r="E8" s="12">
        <v>0.88450812999999995</v>
      </c>
      <c r="F8" s="12">
        <f t="shared" si="1"/>
        <v>5.1735858000000003E-2</v>
      </c>
      <c r="G8" s="12">
        <v>0.94048290000000001</v>
      </c>
      <c r="H8" s="12">
        <f t="shared" si="2"/>
        <v>0.22745517900000001</v>
      </c>
      <c r="I8" s="12">
        <v>1.441799E-2</v>
      </c>
      <c r="J8" s="12">
        <f t="shared" si="3"/>
        <v>8.4709200000000003E-4</v>
      </c>
      <c r="K8" s="12">
        <v>0.12007493499999999</v>
      </c>
      <c r="L8" s="12">
        <f t="shared" si="4"/>
        <v>2.9104850000000002E-2</v>
      </c>
    </row>
    <row r="9" spans="1:12" hidden="1" x14ac:dyDescent="0.25">
      <c r="A9" s="3" t="s">
        <v>13</v>
      </c>
      <c r="B9" s="3">
        <v>17</v>
      </c>
      <c r="C9" s="3">
        <v>0.70814670000000002</v>
      </c>
      <c r="D9" s="3">
        <f t="shared" si="0"/>
        <v>0.61226774900000003</v>
      </c>
      <c r="E9" s="3">
        <v>1.0274730999999999</v>
      </c>
      <c r="F9" s="3">
        <f t="shared" si="1"/>
        <v>0.73868844099999997</v>
      </c>
      <c r="G9" s="3">
        <v>1.0136434999999999</v>
      </c>
      <c r="H9" s="3">
        <f t="shared" si="2"/>
        <v>0.85946986000000003</v>
      </c>
      <c r="I9" s="3">
        <v>1.6747650999999999E-2</v>
      </c>
      <c r="J9" s="3">
        <f t="shared" si="3"/>
        <v>1.209065E-2</v>
      </c>
      <c r="K9" s="3">
        <v>0.12941273</v>
      </c>
      <c r="L9" s="3">
        <f t="shared" si="4"/>
        <v>0.109957492</v>
      </c>
    </row>
    <row r="10" spans="1:12" x14ac:dyDescent="0.25">
      <c r="A10" s="3" t="s">
        <v>13</v>
      </c>
      <c r="B10" s="16">
        <v>20</v>
      </c>
      <c r="C10" s="12">
        <v>0.83229196000000005</v>
      </c>
      <c r="D10" s="12">
        <f t="shared" si="0"/>
        <v>1.301882051</v>
      </c>
      <c r="E10" s="12">
        <v>1.6929486</v>
      </c>
      <c r="F10" s="12">
        <f t="shared" si="1"/>
        <v>3.9141221129999999</v>
      </c>
      <c r="G10" s="12">
        <v>1.3011336</v>
      </c>
      <c r="H10" s="12">
        <f t="shared" si="2"/>
        <v>1.9784140400000001</v>
      </c>
      <c r="I10" s="12">
        <v>2.7606399E-2</v>
      </c>
      <c r="J10" s="12">
        <f t="shared" si="3"/>
        <v>6.4180996000000004E-2</v>
      </c>
      <c r="K10" s="12">
        <v>0.16615174999999999</v>
      </c>
      <c r="L10" s="12">
        <f t="shared" si="4"/>
        <v>0.25333968400000001</v>
      </c>
    </row>
    <row r="11" spans="1:12" hidden="1" x14ac:dyDescent="0.25">
      <c r="A11" s="3" t="s">
        <v>13</v>
      </c>
      <c r="B11" s="3">
        <v>23</v>
      </c>
      <c r="C11" s="3">
        <v>0.8941694</v>
      </c>
      <c r="D11" s="3">
        <f t="shared" si="0"/>
        <v>1.5053041629999999</v>
      </c>
      <c r="E11" s="3">
        <v>1.9903651</v>
      </c>
      <c r="F11" s="3">
        <f t="shared" si="1"/>
        <v>6.7911045320000003</v>
      </c>
      <c r="G11" s="3">
        <v>1.410803</v>
      </c>
      <c r="H11" s="3">
        <f t="shared" si="2"/>
        <v>2.605974776</v>
      </c>
      <c r="I11" s="3">
        <v>3.2450122999999997E-2</v>
      </c>
      <c r="J11" s="3">
        <f t="shared" si="3"/>
        <v>0.11188006</v>
      </c>
      <c r="K11" s="3">
        <v>0.18013916999999999</v>
      </c>
      <c r="L11" s="3">
        <f t="shared" si="4"/>
        <v>0.33448476799999999</v>
      </c>
    </row>
    <row r="12" spans="1:12" x14ac:dyDescent="0.25">
      <c r="A12" s="3" t="s">
        <v>13</v>
      </c>
      <c r="B12" s="16">
        <v>26</v>
      </c>
      <c r="C12" s="12">
        <v>0.98830426000000005</v>
      </c>
      <c r="D12" s="12">
        <f t="shared" si="0"/>
        <v>1.260316083</v>
      </c>
      <c r="E12" s="12">
        <v>2.3289057999999998</v>
      </c>
      <c r="F12" s="12">
        <f t="shared" si="1"/>
        <v>5.8739931780000001</v>
      </c>
      <c r="G12" s="12">
        <v>1.5260752</v>
      </c>
      <c r="H12" s="12">
        <f t="shared" si="2"/>
        <v>2.4236322280000002</v>
      </c>
      <c r="I12" s="12">
        <v>3.7863198000000001E-2</v>
      </c>
      <c r="J12" s="12">
        <f t="shared" si="3"/>
        <v>9.7067818E-2</v>
      </c>
      <c r="K12" s="12">
        <v>0.19458466999999999</v>
      </c>
      <c r="L12" s="12">
        <f t="shared" si="4"/>
        <v>0.31155708700000001</v>
      </c>
    </row>
    <row r="13" spans="1:12" hidden="1" x14ac:dyDescent="0.25">
      <c r="A13" s="3" t="s">
        <v>13</v>
      </c>
      <c r="B13" s="3">
        <v>29</v>
      </c>
      <c r="C13" s="3">
        <v>0.98033239999999999</v>
      </c>
      <c r="D13" s="3">
        <f t="shared" si="0"/>
        <v>1.1739623480000001</v>
      </c>
      <c r="E13" s="3">
        <v>2.6683235000000001</v>
      </c>
      <c r="F13" s="3">
        <f t="shared" si="1"/>
        <v>4.6959640739999999</v>
      </c>
      <c r="G13" s="3">
        <v>1.6335002999999999</v>
      </c>
      <c r="H13" s="3">
        <f t="shared" si="2"/>
        <v>2.167017322</v>
      </c>
      <c r="I13" s="3">
        <v>4.3296023000000003E-2</v>
      </c>
      <c r="J13" s="3">
        <f t="shared" si="3"/>
        <v>7.7582390000000001E-2</v>
      </c>
      <c r="K13" s="3">
        <v>0.20807695000000001</v>
      </c>
      <c r="L13" s="3">
        <f t="shared" si="4"/>
        <v>0.27853615500000001</v>
      </c>
    </row>
    <row r="14" spans="1:12" x14ac:dyDescent="0.25">
      <c r="A14" s="3" t="s">
        <v>13</v>
      </c>
      <c r="B14" s="17">
        <v>32</v>
      </c>
      <c r="C14" s="14">
        <v>1.0815619000000001</v>
      </c>
      <c r="D14" s="14">
        <f t="shared" si="0"/>
        <v>1.472905168</v>
      </c>
      <c r="E14" s="14">
        <v>2.6492051999999999</v>
      </c>
      <c r="F14" s="14">
        <f t="shared" si="1"/>
        <v>6.1087627449999999</v>
      </c>
      <c r="G14" s="14">
        <v>1.6276379999999999</v>
      </c>
      <c r="H14" s="14">
        <f t="shared" si="2"/>
        <v>2.4715911359999998</v>
      </c>
      <c r="I14" s="14">
        <v>4.2962118000000001E-2</v>
      </c>
      <c r="J14" s="14">
        <f t="shared" si="3"/>
        <v>0.100789377</v>
      </c>
      <c r="K14" s="14">
        <v>0.20727307</v>
      </c>
      <c r="L14" s="14">
        <f t="shared" si="4"/>
        <v>0.31747342699999997</v>
      </c>
    </row>
    <row r="15" spans="1:12" hidden="1" x14ac:dyDescent="0.25">
      <c r="A15" s="3" t="s">
        <v>13</v>
      </c>
      <c r="B15" s="3">
        <v>35</v>
      </c>
      <c r="C15" s="3">
        <v>1.6002015999999999</v>
      </c>
      <c r="D15" s="3">
        <f t="shared" si="0"/>
        <v>1.6001121519999999</v>
      </c>
      <c r="E15" s="3">
        <v>4.3478465000000002</v>
      </c>
      <c r="F15" s="3">
        <f t="shared" si="1"/>
        <v>7.2388501759999997</v>
      </c>
      <c r="G15" s="3">
        <v>2.0851489999999999</v>
      </c>
      <c r="H15" s="3">
        <f t="shared" si="2"/>
        <v>2.6905111370000001</v>
      </c>
      <c r="I15" s="3">
        <v>7.0496960999999997E-2</v>
      </c>
      <c r="J15" s="3">
        <f t="shared" si="3"/>
        <v>0.119253366</v>
      </c>
      <c r="K15" s="3">
        <v>0.26551265000000002</v>
      </c>
      <c r="L15" s="3">
        <f t="shared" si="4"/>
        <v>0.34533080599999999</v>
      </c>
    </row>
    <row r="16" spans="1:12" x14ac:dyDescent="0.25">
      <c r="A16" t="s">
        <v>15</v>
      </c>
    </row>
    <row r="21" spans="1:24" x14ac:dyDescent="0.25">
      <c r="A21">
        <v>0</v>
      </c>
      <c r="B21">
        <v>0</v>
      </c>
      <c r="C21">
        <v>0</v>
      </c>
      <c r="E21">
        <v>0</v>
      </c>
      <c r="G21">
        <v>0</v>
      </c>
      <c r="I21">
        <v>0</v>
      </c>
      <c r="K21">
        <v>0</v>
      </c>
    </row>
    <row r="22" spans="1:24" x14ac:dyDescent="0.25">
      <c r="A22">
        <v>0</v>
      </c>
      <c r="B22">
        <v>0</v>
      </c>
      <c r="C22">
        <v>0</v>
      </c>
      <c r="E22">
        <v>0</v>
      </c>
      <c r="G22">
        <v>0</v>
      </c>
      <c r="I22">
        <v>0</v>
      </c>
      <c r="K22">
        <v>0</v>
      </c>
      <c r="N22" s="18" t="s">
        <v>2</v>
      </c>
      <c r="O22" s="18" t="s">
        <v>28</v>
      </c>
      <c r="P22" s="18"/>
      <c r="Q22" s="18" t="s">
        <v>30</v>
      </c>
      <c r="R22" s="18"/>
      <c r="S22" s="18" t="s">
        <v>32</v>
      </c>
      <c r="T22" s="18"/>
      <c r="U22" s="18" t="s">
        <v>34</v>
      </c>
      <c r="V22" s="18"/>
      <c r="W22" s="18" t="s">
        <v>36</v>
      </c>
      <c r="X22" s="18"/>
    </row>
    <row r="23" spans="1:24" x14ac:dyDescent="0.25">
      <c r="A23" t="s">
        <v>16</v>
      </c>
      <c r="B23">
        <v>2</v>
      </c>
      <c r="C23">
        <v>9.2734050000000002E-3</v>
      </c>
      <c r="E23">
        <v>1.4833199999999999E-4</v>
      </c>
      <c r="G23">
        <v>1.2179168000000001E-2</v>
      </c>
      <c r="I23" s="1">
        <v>2.4399999999999999E-6</v>
      </c>
      <c r="J23" s="1"/>
      <c r="K23">
        <v>1.5612309999999999E-3</v>
      </c>
      <c r="N23" s="19"/>
      <c r="O23" s="20" t="s">
        <v>13</v>
      </c>
      <c r="P23" s="20" t="s">
        <v>26</v>
      </c>
      <c r="Q23" s="20" t="s">
        <v>13</v>
      </c>
      <c r="R23" s="20" t="s">
        <v>26</v>
      </c>
      <c r="S23" s="20" t="s">
        <v>13</v>
      </c>
      <c r="T23" s="20" t="s">
        <v>26</v>
      </c>
      <c r="U23" s="20" t="s">
        <v>13</v>
      </c>
      <c r="V23" s="20" t="s">
        <v>26</v>
      </c>
      <c r="W23" s="20" t="s">
        <v>13</v>
      </c>
      <c r="X23" s="20" t="s">
        <v>26</v>
      </c>
    </row>
    <row r="24" spans="1:24" x14ac:dyDescent="0.25">
      <c r="A24" t="s">
        <v>16</v>
      </c>
      <c r="B24">
        <v>5</v>
      </c>
      <c r="C24">
        <v>1.6538344999999999E-2</v>
      </c>
      <c r="E24">
        <v>4.7213600000000001E-4</v>
      </c>
      <c r="G24">
        <v>2.1728701E-2</v>
      </c>
      <c r="I24" s="1">
        <v>7.7600000000000002E-6</v>
      </c>
      <c r="J24" s="1"/>
      <c r="K24">
        <v>2.7852369999999999E-3</v>
      </c>
      <c r="N24" s="21">
        <v>2</v>
      </c>
      <c r="O24" s="25">
        <v>0.35555792000000003</v>
      </c>
      <c r="P24" s="26">
        <v>9.2734050000000002E-3</v>
      </c>
      <c r="Q24" s="25">
        <v>0.23635813999999999</v>
      </c>
      <c r="R24" s="22">
        <v>1.4833199999999999E-4</v>
      </c>
      <c r="S24" s="25">
        <v>0.48616678000000002</v>
      </c>
      <c r="T24" s="26">
        <v>1.2179168000000001E-2</v>
      </c>
      <c r="U24" s="11">
        <v>3.8581919999999999E-3</v>
      </c>
      <c r="V24" s="22">
        <v>2.4399999999999999E-6</v>
      </c>
      <c r="W24" s="25">
        <v>6.2114343000000002E-2</v>
      </c>
      <c r="X24" s="22">
        <v>1.5612309999999999E-3</v>
      </c>
    </row>
    <row r="25" spans="1:24" x14ac:dyDescent="0.25">
      <c r="A25" t="s">
        <v>16</v>
      </c>
      <c r="B25">
        <v>8</v>
      </c>
      <c r="C25">
        <v>2.1781320999999999E-2</v>
      </c>
      <c r="E25">
        <v>8.3556199999999998E-4</v>
      </c>
      <c r="G25">
        <v>2.8906085000000002E-2</v>
      </c>
      <c r="I25" s="1">
        <v>1.3699999999999999E-5</v>
      </c>
      <c r="J25" s="1"/>
      <c r="K25">
        <v>3.7031849999999999E-3</v>
      </c>
      <c r="N25" s="2">
        <v>8</v>
      </c>
      <c r="O25" s="27">
        <v>0.52025854999999999</v>
      </c>
      <c r="P25" s="28">
        <v>2.1781320999999999E-2</v>
      </c>
      <c r="Q25" s="27">
        <v>0.5371051</v>
      </c>
      <c r="R25" s="23">
        <v>8.3556199999999998E-4</v>
      </c>
      <c r="S25" s="27">
        <v>0.73287449999999998</v>
      </c>
      <c r="T25" s="28">
        <v>2.8906085000000002E-2</v>
      </c>
      <c r="U25" s="27">
        <v>8.7571000000000003E-3</v>
      </c>
      <c r="V25" s="23">
        <v>1.3699999999999999E-5</v>
      </c>
      <c r="W25" s="27">
        <v>9.3579374000000007E-2</v>
      </c>
      <c r="X25" s="23">
        <v>3.7031849999999999E-3</v>
      </c>
    </row>
    <row r="26" spans="1:24" x14ac:dyDescent="0.25">
      <c r="A26" t="s">
        <v>16</v>
      </c>
      <c r="B26">
        <v>11</v>
      </c>
      <c r="C26">
        <v>4.4553919999999997E-2</v>
      </c>
      <c r="E26">
        <v>3.6816639999999999E-3</v>
      </c>
      <c r="G26">
        <v>6.0676716999999998E-2</v>
      </c>
      <c r="I26" s="1">
        <v>6.0300000000000002E-5</v>
      </c>
      <c r="J26" s="1"/>
      <c r="K26">
        <v>7.7683650000000002E-3</v>
      </c>
      <c r="N26" s="2">
        <v>14</v>
      </c>
      <c r="O26" s="27">
        <v>0.67346850000000003</v>
      </c>
      <c r="P26" s="28">
        <v>0.16725598699999999</v>
      </c>
      <c r="Q26" s="27">
        <v>0.88450812999999995</v>
      </c>
      <c r="R26" s="28">
        <v>5.1735858000000003E-2</v>
      </c>
      <c r="S26" s="27">
        <v>0.94048290000000001</v>
      </c>
      <c r="T26" s="28">
        <v>0.22745517900000001</v>
      </c>
      <c r="U26" s="27">
        <v>1.441799E-2</v>
      </c>
      <c r="V26" s="23">
        <v>8.4709200000000003E-4</v>
      </c>
      <c r="W26" s="27">
        <v>0.12007493499999999</v>
      </c>
      <c r="X26" s="28">
        <v>2.9104850000000002E-2</v>
      </c>
    </row>
    <row r="27" spans="1:24" x14ac:dyDescent="0.25">
      <c r="A27" t="s">
        <v>16</v>
      </c>
      <c r="B27">
        <v>14</v>
      </c>
      <c r="C27">
        <v>0.16725598699999999</v>
      </c>
      <c r="E27">
        <v>5.1735858000000003E-2</v>
      </c>
      <c r="G27">
        <v>0.22745517900000001</v>
      </c>
      <c r="I27">
        <v>8.4709200000000003E-4</v>
      </c>
      <c r="K27">
        <v>2.9104850000000002E-2</v>
      </c>
      <c r="N27" s="2">
        <v>20</v>
      </c>
      <c r="O27" s="28">
        <v>0.83229196000000005</v>
      </c>
      <c r="P27" s="27">
        <v>1.301882051</v>
      </c>
      <c r="Q27" s="28">
        <v>1.6929486</v>
      </c>
      <c r="R27" s="27">
        <v>3.9141221129999999</v>
      </c>
      <c r="S27" s="28">
        <v>1.3011336</v>
      </c>
      <c r="T27" s="27">
        <v>1.9784140400000001</v>
      </c>
      <c r="U27" s="28">
        <v>2.7606399E-2</v>
      </c>
      <c r="V27" s="27">
        <v>6.4180996000000004E-2</v>
      </c>
      <c r="W27" s="28">
        <v>0.16615174999999999</v>
      </c>
      <c r="X27" s="27">
        <v>0.25333968400000001</v>
      </c>
    </row>
    <row r="28" spans="1:24" x14ac:dyDescent="0.25">
      <c r="A28" t="s">
        <v>16</v>
      </c>
      <c r="B28">
        <v>17</v>
      </c>
      <c r="C28">
        <v>0.61226774900000003</v>
      </c>
      <c r="E28">
        <v>0.73868844099999997</v>
      </c>
      <c r="G28">
        <v>0.85946986000000003</v>
      </c>
      <c r="I28">
        <v>1.209065E-2</v>
      </c>
      <c r="K28">
        <v>0.109957492</v>
      </c>
      <c r="N28" s="2">
        <v>26</v>
      </c>
      <c r="O28" s="28">
        <v>0.98830426000000005</v>
      </c>
      <c r="P28" s="27">
        <v>1.260316083</v>
      </c>
      <c r="Q28" s="28">
        <v>2.3289057999999998</v>
      </c>
      <c r="R28" s="27">
        <v>5.8739931780000001</v>
      </c>
      <c r="S28" s="28">
        <v>1.5260752</v>
      </c>
      <c r="T28" s="27">
        <v>2.4236322280000002</v>
      </c>
      <c r="U28" s="28">
        <v>3.7863198000000001E-2</v>
      </c>
      <c r="V28" s="27">
        <v>9.7067818E-2</v>
      </c>
      <c r="W28" s="28">
        <v>0.19458466999999999</v>
      </c>
      <c r="X28" s="27">
        <v>0.31155708700000001</v>
      </c>
    </row>
    <row r="29" spans="1:24" x14ac:dyDescent="0.25">
      <c r="A29" t="s">
        <v>16</v>
      </c>
      <c r="B29">
        <v>20</v>
      </c>
      <c r="C29">
        <v>1.301882051</v>
      </c>
      <c r="E29">
        <v>3.9141221129999999</v>
      </c>
      <c r="G29">
        <v>1.9784140400000001</v>
      </c>
      <c r="I29">
        <v>6.4180996000000004E-2</v>
      </c>
      <c r="K29">
        <v>0.25333968400000001</v>
      </c>
      <c r="N29" s="24">
        <v>32</v>
      </c>
      <c r="O29" s="29">
        <v>1.0815619000000001</v>
      </c>
      <c r="P29" s="30">
        <v>1.472905168</v>
      </c>
      <c r="Q29" s="29">
        <v>2.6492051999999999</v>
      </c>
      <c r="R29" s="30">
        <v>6.1087627449999999</v>
      </c>
      <c r="S29" s="29">
        <v>1.6276379999999999</v>
      </c>
      <c r="T29" s="30">
        <v>2.4715911359999998</v>
      </c>
      <c r="U29" s="29">
        <v>4.2962118000000001E-2</v>
      </c>
      <c r="V29" s="30">
        <v>0.100789377</v>
      </c>
      <c r="W29" s="29">
        <v>0.20727307</v>
      </c>
      <c r="X29" s="30">
        <v>0.31747342699999997</v>
      </c>
    </row>
    <row r="30" spans="1:24" x14ac:dyDescent="0.25">
      <c r="A30" t="s">
        <v>16</v>
      </c>
      <c r="B30">
        <v>23</v>
      </c>
      <c r="C30">
        <v>1.5053041629999999</v>
      </c>
      <c r="E30">
        <v>6.7911045320000003</v>
      </c>
      <c r="G30">
        <v>2.605974776</v>
      </c>
      <c r="I30">
        <v>0.11188006</v>
      </c>
      <c r="K30">
        <v>0.33448476799999999</v>
      </c>
    </row>
    <row r="31" spans="1:24" x14ac:dyDescent="0.25">
      <c r="A31" t="s">
        <v>16</v>
      </c>
      <c r="B31">
        <v>26</v>
      </c>
      <c r="C31">
        <v>1.260316083</v>
      </c>
      <c r="E31">
        <v>5.8739931780000001</v>
      </c>
      <c r="G31">
        <v>2.4236322280000002</v>
      </c>
      <c r="I31">
        <v>9.7067818E-2</v>
      </c>
      <c r="K31">
        <v>0.31155708700000001</v>
      </c>
    </row>
    <row r="32" spans="1:24" x14ac:dyDescent="0.25">
      <c r="A32" t="s">
        <v>16</v>
      </c>
      <c r="B32">
        <v>29</v>
      </c>
      <c r="C32">
        <v>1.1739623480000001</v>
      </c>
      <c r="E32">
        <v>4.6959640739999999</v>
      </c>
      <c r="G32">
        <v>2.167017322</v>
      </c>
      <c r="I32">
        <v>7.7582390000000001E-2</v>
      </c>
      <c r="K32">
        <v>0.27853615500000001</v>
      </c>
    </row>
    <row r="33" spans="1:11" x14ac:dyDescent="0.25">
      <c r="A33" t="s">
        <v>16</v>
      </c>
      <c r="B33">
        <v>32</v>
      </c>
      <c r="C33">
        <v>1.472905168</v>
      </c>
      <c r="E33">
        <v>6.1087627449999999</v>
      </c>
      <c r="G33">
        <v>2.4715911359999998</v>
      </c>
      <c r="I33">
        <v>0.100789377</v>
      </c>
      <c r="K33">
        <v>0.31747342699999997</v>
      </c>
    </row>
    <row r="34" spans="1:11" x14ac:dyDescent="0.25">
      <c r="A34" t="s">
        <v>16</v>
      </c>
      <c r="B34">
        <v>35</v>
      </c>
      <c r="C34">
        <v>1.6001121519999999</v>
      </c>
      <c r="E34">
        <v>7.2388501759999997</v>
      </c>
      <c r="G34">
        <v>2.6905111370000001</v>
      </c>
      <c r="I34">
        <v>0.119253366</v>
      </c>
      <c r="K34">
        <v>0.34533080599999999</v>
      </c>
    </row>
  </sheetData>
  <autoFilter ref="A2:L16" xr:uid="{0E8BC271-3A41-45B1-885D-9729C71C6DED}">
    <filterColumn colId="1">
      <filters blank="1">
        <filter val="14.0000"/>
        <filter val="2.0000"/>
        <filter val="20.0000"/>
        <filter val="26.0000"/>
        <filter val="32.0000"/>
        <filter val="8.0000"/>
      </filters>
    </filterColumn>
    <filterColumn colId="2" showButton="0"/>
    <filterColumn colId="4" showButton="0"/>
    <filterColumn colId="6" showButton="0"/>
    <filterColumn colId="8" showButton="0"/>
    <filterColumn colId="10" showButton="0"/>
  </autoFilter>
  <mergeCells count="12">
    <mergeCell ref="W22:X22"/>
    <mergeCell ref="B2:B3"/>
    <mergeCell ref="N22:N23"/>
    <mergeCell ref="O22:P22"/>
    <mergeCell ref="Q22:R22"/>
    <mergeCell ref="S22:T22"/>
    <mergeCell ref="U22:V22"/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test_record_Lorenz_ori - 副本 (4)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ziger zhang</cp:lastModifiedBy>
  <dcterms:created xsi:type="dcterms:W3CDTF">2025-08-22T01:58:18Z</dcterms:created>
  <dcterms:modified xsi:type="dcterms:W3CDTF">2025-08-22T07:08:17Z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121F082CFA3B424FBD4609DC427FD24F</vt:lpwstr>
  </property>
  <property fmtid="{D5CDD505-2E9C-101B-9397-08002B2CF9AE}" pid="3" name="KSOProductBuildVer">
    <vt:lpwstr>2052-11.1.0.12165</vt:lpwstr>
  </property>
</Properties>
</file>